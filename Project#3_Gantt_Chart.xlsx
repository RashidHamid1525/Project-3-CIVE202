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uofnebraska-my.sharepoint.com/personal/64147067_nebraska_edu/Documents/UNO/CIVE 202/"/>
    </mc:Choice>
  </mc:AlternateContent>
  <xr:revisionPtr revIDLastSave="109" documentId="8_{69AC5941-D6D3-428B-B360-0A4A025ACFF1}" xr6:coauthVersionLast="47" xr6:coauthVersionMax="47" xr10:uidLastSave="{942717F1-A06A-4FE4-BDE7-B372EA706345}"/>
  <bookViews>
    <workbookView minimized="1" xWindow="1740" yWindow="1740" windowWidth="7500" windowHeight="600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 i="11" l="1"/>
  <c r="F29" i="11"/>
  <c r="F28" i="11"/>
  <c r="E28" i="11"/>
  <c r="F27" i="11"/>
  <c r="E27" i="11"/>
  <c r="F26" i="11"/>
  <c r="F24" i="11"/>
  <c r="E24" i="11"/>
  <c r="E21" i="11"/>
  <c r="F23" i="11"/>
  <c r="E23" i="11"/>
  <c r="F22" i="11"/>
  <c r="E22" i="11"/>
  <c r="F21" i="11"/>
  <c r="F20" i="11"/>
  <c r="E20" i="11"/>
  <c r="F19" i="11"/>
  <c r="E19" i="11"/>
  <c r="F17" i="11"/>
  <c r="E17" i="11"/>
  <c r="F16" i="11"/>
  <c r="E16" i="11"/>
  <c r="F15" i="11"/>
  <c r="E15" i="11"/>
  <c r="F14" i="11"/>
  <c r="E12" i="11"/>
  <c r="F11" i="11"/>
  <c r="E10" i="11"/>
  <c r="F10" i="11" s="1"/>
  <c r="F9" i="11"/>
  <c r="H7" i="11"/>
  <c r="I5" i="11" l="1"/>
  <c r="I4" i="11" s="1"/>
  <c r="H32" i="11"/>
  <c r="H31" i="11"/>
  <c r="H25" i="11"/>
  <c r="H18" i="11"/>
  <c r="H13" i="11"/>
  <c r="H8" i="11"/>
  <c r="H19" i="11" l="1"/>
  <c r="H20" i="11"/>
  <c r="E29" i="11"/>
  <c r="H9" i="11"/>
  <c r="E11" i="11"/>
  <c r="F12" i="11" s="1"/>
  <c r="I6" i="11"/>
  <c r="H30" i="11" l="1"/>
  <c r="H29" i="11"/>
  <c r="H26" i="11"/>
  <c r="H24" i="11"/>
  <c r="H10" i="11"/>
  <c r="H21" i="11"/>
  <c r="H14" i="11"/>
  <c r="J5" i="11"/>
  <c r="K5" i="11" s="1"/>
  <c r="L5" i="11" s="1"/>
  <c r="M5" i="11" s="1"/>
  <c r="N5" i="11" s="1"/>
  <c r="O5" i="11" s="1"/>
  <c r="P5" i="11" s="1"/>
  <c r="H28" i="11" l="1"/>
  <c r="H27" i="11"/>
  <c r="H22" i="11"/>
  <c r="H15" i="11"/>
  <c r="H11" i="11"/>
  <c r="H12" i="11"/>
  <c r="P4" i="11"/>
  <c r="Q5" i="11"/>
  <c r="R5" i="11" s="1"/>
  <c r="S5" i="11" s="1"/>
  <c r="T5" i="11" s="1"/>
  <c r="U5" i="11" s="1"/>
  <c r="V5" i="11" s="1"/>
  <c r="W5" i="11" s="1"/>
  <c r="J6" i="11"/>
  <c r="H17" i="11" l="1"/>
  <c r="H16"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<sst xmlns="http://schemas.openxmlformats.org/spreadsheetml/2006/main" count="57" uniqueCount="52">
  <si>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</si>
  <si>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</si>
  <si>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</si>
  <si>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</si>
  <si>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</si>
  <si>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</si>
  <si>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</si>
  <si>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</si>
  <si>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</si>
  <si>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</si>
  <si>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</si>
  <si>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</si>
  <si>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</si>
  <si>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</si>
  <si>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</si>
  <si>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</si>
  <si>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</si>
  <si>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</si>
  <si>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</si>
  <si>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</si>
  <si>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</si>
  <si>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lead</t>
  </si>
  <si>
    <t>Project start:</t>
  </si>
  <si>
    <t>Display week:</t>
  </si>
  <si>
    <t>ASSIGNED TO</t>
  </si>
  <si>
    <t>CIVE 202  Project #3</t>
  </si>
  <si>
    <t>Rashid Hamid</t>
  </si>
  <si>
    <t>Initiation &amp; Data Review</t>
  </si>
  <si>
    <t>Review Client Prompt</t>
  </si>
  <si>
    <t>Review Metadata (NHTS &amp; NGSIM)</t>
  </si>
  <si>
    <t>Import CSV Files</t>
  </si>
  <si>
    <t>Inspect Variables &amp; Units</t>
  </si>
  <si>
    <t>Data Cleaning &amp; Preparation</t>
  </si>
  <si>
    <t>Rename Columns</t>
  </si>
  <si>
    <t>Fix Missing Values</t>
  </si>
  <si>
    <t>Convert Data Types</t>
  </si>
  <si>
    <t>Save Cleaned Data</t>
  </si>
  <si>
    <t>Create Bar Chart</t>
  </si>
  <si>
    <t>Create Histogram</t>
  </si>
  <si>
    <t>Create Boxplot</t>
  </si>
  <si>
    <t>Create Times Series 1</t>
  </si>
  <si>
    <t>Creat Time Series 2</t>
  </si>
  <si>
    <t>Matplotlib/Seaborn Customization</t>
  </si>
  <si>
    <t>Deliverables</t>
  </si>
  <si>
    <t>Scope of Work</t>
  </si>
  <si>
    <t>Technical Report</t>
  </si>
  <si>
    <t>Annotated Code Document</t>
  </si>
  <si>
    <t>GitHub Repository</t>
  </si>
  <si>
    <t>Track Timesheet</t>
  </si>
  <si>
    <t>Charts/Graphs</t>
  </si>
  <si>
    <t>Dependent on another part</t>
  </si>
  <si>
    <t>The part it is dependent 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</si>
</sst>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2" borderId="21" xfId="0" applyFont="1" applyFill="1" applyBorder="1"/>
    <xf numFmtId="0" fontId="20" fillId="11" borderId="16" xfId="0" applyFont="1" applyFill="1" applyBorder="1" applyAlignment="1">
      <alignment horizontal="center" vertical="center"/>
    </xf>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28</xdr:col>
      <xdr:colOff>56445</xdr:colOff>
      <xdr:row>0</xdr:row>
      <xdr:rowOff>1066801</xdr:rowOff>
    </xdr:from>
    <xdr:to>
      <xdr:col>31</xdr:col>
      <xdr:colOff>84900</xdr:colOff>
      <xdr:row>2</xdr:row>
      <xdr:rowOff>190501</xdr:rowOff>
    </xdr:to>
    <xdr:pic>
      <xdr:nvPicPr>
        <xdr:cNvPr id="2" name="Graphic 1" descr="Badge 1 with solid fill">
          <a:extLst>
            <a:ext uri="{FF2B5EF4-FFF2-40B4-BE49-F238E27FC236}">
              <a16:creationId xmlns:a16="http://schemas.microsoft.com/office/drawing/2014/main" id="{3AD2FE94-F9BD-4FF1-A588-F39CB67A8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174112" y="1066801"/>
          <a:ext cx="663455" cy="647700"/>
        </a:xfrm>
        <a:prstGeom prst="rect">
          <a:avLst/>
        </a:prstGeom>
      </xdr:spPr>
    </xdr:pic>
    <xdr:clientData/>
  </xdr:twoCellAnchor>
  <xdr:twoCellAnchor editAs="oneCell">
    <xdr:from>
      <xdr:col>41</xdr:col>
      <xdr:colOff>76200</xdr:colOff>
      <xdr:row>0</xdr:row>
      <xdr:rowOff>1082040</xdr:rowOff>
    </xdr:from>
    <xdr:to>
      <xdr:col>44</xdr:col>
      <xdr:colOff>60960</xdr:colOff>
      <xdr:row>2</xdr:row>
      <xdr:rowOff>161909</xdr:rowOff>
    </xdr:to>
    <xdr:pic>
      <xdr:nvPicPr>
        <xdr:cNvPr id="3" name="Graphic 2" descr="Badge 1 outline">
          <a:extLst>
            <a:ext uri="{FF2B5EF4-FFF2-40B4-BE49-F238E27FC236}">
              <a16:creationId xmlns:a16="http://schemas.microsoft.com/office/drawing/2014/main" id="{162FDCA5-1991-4E6F-AD59-C8C2B643637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725400" y="1082040"/>
          <a:ext cx="601980" cy="603869"/>
        </a:xfrm>
        <a:prstGeom prst="rect">
          <a:avLst/>
        </a:prstGeom>
      </xdr:spPr>
    </xdr:pic>
    <xdr:clientData/>
  </xdr:twoCellAnchor>
  <xdr:twoCellAnchor editAs="oneCell">
    <xdr:from>
      <xdr:col>5</xdr:col>
      <xdr:colOff>646290</xdr:colOff>
      <xdr:row>16</xdr:row>
      <xdr:rowOff>372533</xdr:rowOff>
    </xdr:from>
    <xdr:to>
      <xdr:col>8</xdr:col>
      <xdr:colOff>84668</xdr:colOff>
      <xdr:row>18</xdr:row>
      <xdr:rowOff>67897</xdr:rowOff>
    </xdr:to>
    <xdr:pic>
      <xdr:nvPicPr>
        <xdr:cNvPr id="4" name="Graphic 3" descr="Badge 1 with solid fill">
          <a:extLst>
            <a:ext uri="{FF2B5EF4-FFF2-40B4-BE49-F238E27FC236}">
              <a16:creationId xmlns:a16="http://schemas.microsoft.com/office/drawing/2014/main" id="{009B33D7-2D03-47DC-8E04-02E14D9D0BB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500512" y="6482644"/>
          <a:ext cx="468489" cy="457364"/>
        </a:xfrm>
        <a:prstGeom prst="rect">
          <a:avLst/>
        </a:prstGeom>
      </xdr:spPr>
    </xdr:pic>
    <xdr:clientData/>
  </xdr:twoCellAnchor>
  <xdr:twoCellAnchor editAs="oneCell">
    <xdr:from>
      <xdr:col>6</xdr:col>
      <xdr:colOff>197555</xdr:colOff>
      <xdr:row>16</xdr:row>
      <xdr:rowOff>28224</xdr:rowOff>
    </xdr:from>
    <xdr:to>
      <xdr:col>9</xdr:col>
      <xdr:colOff>179729</xdr:colOff>
      <xdr:row>17</xdr:row>
      <xdr:rowOff>42334</xdr:rowOff>
    </xdr:to>
    <xdr:pic>
      <xdr:nvPicPr>
        <xdr:cNvPr id="5" name="Graphic 4" descr="Badge 1 outline">
          <a:extLst>
            <a:ext uri="{FF2B5EF4-FFF2-40B4-BE49-F238E27FC236}">
              <a16:creationId xmlns:a16="http://schemas.microsoft.com/office/drawing/2014/main" id="{8A969B4B-A96A-44B7-A4AE-DDB1B495E72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870222" y="6138335"/>
          <a:ext cx="405507" cy="395110"/>
        </a:xfrm>
        <a:prstGeom prst="rect">
          <a:avLst/>
        </a:prstGeom>
      </xdr:spPr>
    </xdr:pic>
    <xdr:clientData/>
  </xdr:twoCellAnchor>
  <xdr:twoCellAnchor editAs="oneCell">
    <xdr:from>
      <xdr:col>6</xdr:col>
      <xdr:colOff>143700</xdr:colOff>
      <xdr:row>13</xdr:row>
      <xdr:rowOff>169334</xdr:rowOff>
    </xdr:from>
    <xdr:to>
      <xdr:col>11</xdr:col>
      <xdr:colOff>82807</xdr:colOff>
      <xdr:row>15</xdr:row>
      <xdr:rowOff>199158</xdr:rowOff>
    </xdr:to>
    <xdr:pic>
      <xdr:nvPicPr>
        <xdr:cNvPr id="7" name="Graphic 6" descr="Badge with solid fill">
          <a:extLst>
            <a:ext uri="{FF2B5EF4-FFF2-40B4-BE49-F238E27FC236}">
              <a16:creationId xmlns:a16="http://schemas.microsoft.com/office/drawing/2014/main" id="{DF6366E7-E6CB-49E2-9EC8-08A35E286A5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816367" y="5136445"/>
          <a:ext cx="785773" cy="791824"/>
        </a:xfrm>
        <a:prstGeom prst="rect">
          <a:avLst/>
        </a:prstGeom>
      </xdr:spPr>
    </xdr:pic>
    <xdr:clientData/>
  </xdr:twoCellAnchor>
  <xdr:twoCellAnchor editAs="oneCell">
    <xdr:from>
      <xdr:col>8</xdr:col>
      <xdr:colOff>169335</xdr:colOff>
      <xdr:row>10</xdr:row>
      <xdr:rowOff>169332</xdr:rowOff>
    </xdr:from>
    <xdr:to>
      <xdr:col>11</xdr:col>
      <xdr:colOff>10585</xdr:colOff>
      <xdr:row>11</xdr:row>
      <xdr:rowOff>273241</xdr:rowOff>
    </xdr:to>
    <xdr:pic>
      <xdr:nvPicPr>
        <xdr:cNvPr id="9" name="Graphic 8" descr="Badge outline">
          <a:extLst>
            <a:ext uri="{FF2B5EF4-FFF2-40B4-BE49-F238E27FC236}">
              <a16:creationId xmlns:a16="http://schemas.microsoft.com/office/drawing/2014/main" id="{891478D4-9A35-4178-AA81-F12FC5C8FBF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053668" y="3993443"/>
          <a:ext cx="476250" cy="4849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5"/>
  <sheetViews>
    <sheetView showGridLines="0" tabSelected="1" showRuler="0" topLeftCell="A15" zoomScale="78" zoomScaleNormal="100" zoomScalePageLayoutView="70" workbookViewId="0">
      <selection activeCell="D31" sqref="D31"/>
    </sheetView>
  </sheetViews>
  <sheetFormatPr defaultColWidth="8.69921875" defaultRowHeight="30" customHeight="1" x14ac:dyDescent="0.25"/>
  <cols>
    <col min="1" max="1" width="2.69921875" style="13" customWidth="1"/>
    <col min="2" max="2" width="22.69921875" customWidth="1"/>
    <col min="3" max="3" width="16.69921875" customWidth="1"/>
    <col min="4" max="4" width="10.69921875" customWidth="1"/>
    <col min="5" max="5" width="10.69921875" style="2" customWidth="1"/>
    <col min="6" max="6" width="10.69921875" customWidth="1"/>
    <col min="7" max="7" width="2.69921875" customWidth="1"/>
    <col min="8" max="8" width="6" hidden="1" customWidth="1"/>
    <col min="9" max="65" width="2.69921875" customWidth="1"/>
  </cols>
  <sheetData>
    <row r="1" spans="1:64" ht="90" customHeight="1" x14ac:dyDescent="1.45">
      <c r="A1" s="14"/>
      <c r="B1" s="98" t="s">
        <v>25</v>
      </c>
      <c r="C1" s="18"/>
      <c r="D1" s="19"/>
      <c r="E1" s="20"/>
      <c r="F1" s="21"/>
      <c r="H1" s="1"/>
      <c r="I1" s="115" t="s">
        <v>22</v>
      </c>
      <c r="J1" s="116"/>
      <c r="K1" s="116"/>
      <c r="L1" s="116"/>
      <c r="M1" s="116"/>
      <c r="N1" s="116"/>
      <c r="O1" s="116"/>
      <c r="P1" s="24"/>
      <c r="Q1" s="114">
        <f ca="1">TODAY() -23</f>
        <v>46088</v>
      </c>
      <c r="R1" s="113"/>
      <c r="S1" s="113"/>
      <c r="T1" s="113"/>
      <c r="U1" s="113"/>
      <c r="V1" s="113"/>
      <c r="W1" s="113"/>
      <c r="X1" s="113"/>
      <c r="Y1" s="113"/>
      <c r="Z1" s="113"/>
    </row>
    <row r="2" spans="1:64" ht="30" customHeight="1" x14ac:dyDescent="0.6">
      <c r="B2" s="96" t="s">
        <v>26</v>
      </c>
      <c r="C2" s="97" t="s">
        <v>21</v>
      </c>
      <c r="D2" s="22"/>
      <c r="E2" s="23"/>
      <c r="F2" s="22"/>
      <c r="I2" s="115" t="s">
        <v>23</v>
      </c>
      <c r="J2" s="116"/>
      <c r="K2" s="116"/>
      <c r="L2" s="116"/>
      <c r="M2" s="116"/>
      <c r="N2" s="116"/>
      <c r="O2" s="116"/>
      <c r="P2" s="24"/>
      <c r="Q2" s="112">
        <v>1</v>
      </c>
      <c r="R2" s="113"/>
      <c r="S2" s="113"/>
      <c r="T2" s="113"/>
      <c r="U2" s="113"/>
      <c r="V2" s="113"/>
      <c r="W2" s="113"/>
      <c r="X2" s="113"/>
      <c r="Y2" s="113"/>
      <c r="Z2" s="113"/>
      <c r="AF2" t="s">
        <v>50</v>
      </c>
      <c r="AS2" t="s">
        <v>51</v>
      </c>
    </row>
    <row r="3" spans="1:64" s="26" customFormat="1" ht="30" customHeight="1" x14ac:dyDescent="0.25">
      <c r="A3" s="13"/>
      <c r="B3" s="25" t="s">
        <v>8</v>
      </c>
      <c r="D3" s="27"/>
      <c r="E3" s="28"/>
    </row>
    <row r="4" spans="1:64" s="26" customFormat="1" ht="30" customHeight="1" x14ac:dyDescent="0.25">
      <c r="A4" s="14"/>
      <c r="B4" s="29" t="s">
        <v>13</v>
      </c>
      <c r="E4" s="30"/>
      <c r="I4" s="119">
        <f ca="1">I5</f>
        <v>46083</v>
      </c>
      <c r="J4" s="117"/>
      <c r="K4" s="117"/>
      <c r="L4" s="117"/>
      <c r="M4" s="117"/>
      <c r="N4" s="117"/>
      <c r="O4" s="117"/>
      <c r="P4" s="117">
        <f ca="1">P5</f>
        <v>46090</v>
      </c>
      <c r="Q4" s="117"/>
      <c r="R4" s="117"/>
      <c r="S4" s="117"/>
      <c r="T4" s="117"/>
      <c r="U4" s="117"/>
      <c r="V4" s="117"/>
      <c r="W4" s="117">
        <f ca="1">W5</f>
        <v>46097</v>
      </c>
      <c r="X4" s="117"/>
      <c r="Y4" s="117"/>
      <c r="Z4" s="117"/>
      <c r="AA4" s="117"/>
      <c r="AB4" s="117"/>
      <c r="AC4" s="117"/>
      <c r="AD4" s="117">
        <f ca="1">AD5</f>
        <v>46104</v>
      </c>
      <c r="AE4" s="117"/>
      <c r="AF4" s="117"/>
      <c r="AG4" s="117"/>
      <c r="AH4" s="117"/>
      <c r="AI4" s="117"/>
      <c r="AJ4" s="117"/>
      <c r="AK4" s="117">
        <f ca="1">AK5</f>
        <v>46111</v>
      </c>
      <c r="AL4" s="117"/>
      <c r="AM4" s="117"/>
      <c r="AN4" s="117"/>
      <c r="AO4" s="117"/>
      <c r="AP4" s="117"/>
      <c r="AQ4" s="117"/>
      <c r="AR4" s="117">
        <f ca="1">AR5</f>
        <v>46118</v>
      </c>
      <c r="AS4" s="117"/>
      <c r="AT4" s="117"/>
      <c r="AU4" s="117"/>
      <c r="AV4" s="117"/>
      <c r="AW4" s="117"/>
      <c r="AX4" s="117"/>
      <c r="AY4" s="117">
        <f ca="1">AY5</f>
        <v>46125</v>
      </c>
      <c r="AZ4" s="117"/>
      <c r="BA4" s="117"/>
      <c r="BB4" s="117"/>
      <c r="BC4" s="117"/>
      <c r="BD4" s="117"/>
      <c r="BE4" s="117"/>
      <c r="BF4" s="117">
        <f ca="1">BF5</f>
        <v>46132</v>
      </c>
      <c r="BG4" s="117"/>
      <c r="BH4" s="117"/>
      <c r="BI4" s="117"/>
      <c r="BJ4" s="117"/>
      <c r="BK4" s="117"/>
      <c r="BL4" s="118"/>
    </row>
    <row r="5" spans="1:64" s="26" customFormat="1" ht="15" customHeight="1" x14ac:dyDescent="0.25">
      <c r="A5" s="106"/>
      <c r="B5" s="107" t="s">
        <v>5</v>
      </c>
      <c r="C5" s="109" t="s">
        <v>24</v>
      </c>
      <c r="D5" s="111" t="s">
        <v>1</v>
      </c>
      <c r="E5" s="111" t="s">
        <v>3</v>
      </c>
      <c r="F5" s="111" t="s">
        <v>4</v>
      </c>
      <c r="I5" s="31">
        <f ca="1">Project_Start-WEEKDAY(Project_Start,1)+2+7*(Display_Week-1)</f>
        <v>46083</v>
      </c>
      <c r="J5" s="31">
        <f ca="1">I5+1</f>
        <v>46084</v>
      </c>
      <c r="K5" s="31">
        <f t="shared" ref="K5:AX5" ca="1" si="0">J5+1</f>
        <v>46085</v>
      </c>
      <c r="L5" s="31">
        <f t="shared" ca="1" si="0"/>
        <v>46086</v>
      </c>
      <c r="M5" s="31">
        <f t="shared" ca="1" si="0"/>
        <v>46087</v>
      </c>
      <c r="N5" s="31">
        <f t="shared" ca="1" si="0"/>
        <v>46088</v>
      </c>
      <c r="O5" s="32">
        <f t="shared" ca="1" si="0"/>
        <v>46089</v>
      </c>
      <c r="P5" s="33">
        <f ca="1">O5+1</f>
        <v>46090</v>
      </c>
      <c r="Q5" s="31">
        <f ca="1">P5+1</f>
        <v>46091</v>
      </c>
      <c r="R5" s="31">
        <f t="shared" ca="1" si="0"/>
        <v>46092</v>
      </c>
      <c r="S5" s="31">
        <f t="shared" ca="1" si="0"/>
        <v>46093</v>
      </c>
      <c r="T5" s="31">
        <f t="shared" ca="1" si="0"/>
        <v>46094</v>
      </c>
      <c r="U5" s="31">
        <f t="shared" ca="1" si="0"/>
        <v>46095</v>
      </c>
      <c r="V5" s="32">
        <f t="shared" ca="1" si="0"/>
        <v>46096</v>
      </c>
      <c r="W5" s="33">
        <f ca="1">V5+1</f>
        <v>46097</v>
      </c>
      <c r="X5" s="31">
        <f ca="1">W5+1</f>
        <v>46098</v>
      </c>
      <c r="Y5" s="31">
        <f t="shared" ca="1" si="0"/>
        <v>46099</v>
      </c>
      <c r="Z5" s="31">
        <f t="shared" ca="1" si="0"/>
        <v>46100</v>
      </c>
      <c r="AA5" s="31">
        <f t="shared" ca="1" si="0"/>
        <v>46101</v>
      </c>
      <c r="AB5" s="31">
        <f t="shared" ca="1" si="0"/>
        <v>46102</v>
      </c>
      <c r="AC5" s="32">
        <f t="shared" ca="1" si="0"/>
        <v>46103</v>
      </c>
      <c r="AD5" s="33">
        <f ca="1">AC5+1</f>
        <v>46104</v>
      </c>
      <c r="AE5" s="31">
        <f ca="1">AD5+1</f>
        <v>46105</v>
      </c>
      <c r="AF5" s="31">
        <f t="shared" ca="1" si="0"/>
        <v>46106</v>
      </c>
      <c r="AG5" s="31">
        <f t="shared" ca="1" si="0"/>
        <v>46107</v>
      </c>
      <c r="AH5" s="31">
        <f t="shared" ca="1" si="0"/>
        <v>46108</v>
      </c>
      <c r="AI5" s="31">
        <f t="shared" ca="1" si="0"/>
        <v>46109</v>
      </c>
      <c r="AJ5" s="32">
        <f t="shared" ca="1" si="0"/>
        <v>46110</v>
      </c>
      <c r="AK5" s="33">
        <f ca="1">AJ5+1</f>
        <v>46111</v>
      </c>
      <c r="AL5" s="31">
        <f ca="1">AK5+1</f>
        <v>46112</v>
      </c>
      <c r="AM5" s="31">
        <f t="shared" ca="1" si="0"/>
        <v>46113</v>
      </c>
      <c r="AN5" s="31">
        <f t="shared" ca="1" si="0"/>
        <v>46114</v>
      </c>
      <c r="AO5" s="31">
        <f t="shared" ca="1" si="0"/>
        <v>46115</v>
      </c>
      <c r="AP5" s="31">
        <f t="shared" ca="1" si="0"/>
        <v>46116</v>
      </c>
      <c r="AQ5" s="32">
        <f t="shared" ca="1" si="0"/>
        <v>46117</v>
      </c>
      <c r="AR5" s="33">
        <f ca="1">AQ5+1</f>
        <v>46118</v>
      </c>
      <c r="AS5" s="31">
        <f ca="1">AR5+1</f>
        <v>46119</v>
      </c>
      <c r="AT5" s="31">
        <f t="shared" ca="1" si="0"/>
        <v>46120</v>
      </c>
      <c r="AU5" s="31">
        <f t="shared" ca="1" si="0"/>
        <v>46121</v>
      </c>
      <c r="AV5" s="31">
        <f t="shared" ca="1" si="0"/>
        <v>46122</v>
      </c>
      <c r="AW5" s="31">
        <f t="shared" ca="1" si="0"/>
        <v>46123</v>
      </c>
      <c r="AX5" s="32">
        <f t="shared" ca="1" si="0"/>
        <v>46124</v>
      </c>
      <c r="AY5" s="33">
        <f ca="1">AX5+1</f>
        <v>46125</v>
      </c>
      <c r="AZ5" s="31">
        <f ca="1">AY5+1</f>
        <v>46126</v>
      </c>
      <c r="BA5" s="31">
        <f t="shared" ref="BA5:BE5" ca="1" si="1">AZ5+1</f>
        <v>46127</v>
      </c>
      <c r="BB5" s="31">
        <f t="shared" ca="1" si="1"/>
        <v>46128</v>
      </c>
      <c r="BC5" s="31">
        <f t="shared" ca="1" si="1"/>
        <v>46129</v>
      </c>
      <c r="BD5" s="31">
        <f t="shared" ca="1" si="1"/>
        <v>46130</v>
      </c>
      <c r="BE5" s="32">
        <f t="shared" ca="1" si="1"/>
        <v>46131</v>
      </c>
      <c r="BF5" s="33">
        <f ca="1">BE5+1</f>
        <v>46132</v>
      </c>
      <c r="BG5" s="31">
        <f ca="1">BF5+1</f>
        <v>46133</v>
      </c>
      <c r="BH5" s="31">
        <f t="shared" ref="BH5:BL5" ca="1" si="2">BG5+1</f>
        <v>46134</v>
      </c>
      <c r="BI5" s="31">
        <f t="shared" ca="1" si="2"/>
        <v>46135</v>
      </c>
      <c r="BJ5" s="31">
        <f t="shared" ca="1" si="2"/>
        <v>46136</v>
      </c>
      <c r="BK5" s="31">
        <f t="shared" ca="1" si="2"/>
        <v>46137</v>
      </c>
      <c r="BL5" s="31">
        <f t="shared" ca="1" si="2"/>
        <v>46138</v>
      </c>
    </row>
    <row r="6" spans="1:64" s="26" customFormat="1" ht="15" customHeight="1" thickBot="1" x14ac:dyDescent="0.3">
      <c r="A6" s="106"/>
      <c r="B6" s="108"/>
      <c r="C6" s="110"/>
      <c r="D6" s="110"/>
      <c r="E6" s="110"/>
      <c r="F6" s="110"/>
      <c r="I6" s="34" t="str">
        <f t="shared" ref="I6:AN6" ca="1" si="3">LEFT(TEXT(I5,"ddd"),1)</f>
        <v>M</v>
      </c>
      <c r="J6" s="35" t="str">
        <f t="shared" ca="1" si="3"/>
        <v>T</v>
      </c>
      <c r="K6" s="35" t="str">
        <f t="shared" ca="1" si="3"/>
        <v>W</v>
      </c>
      <c r="L6" s="35" t="str">
        <f t="shared" ca="1" si="3"/>
        <v>T</v>
      </c>
      <c r="M6" s="35" t="str">
        <f t="shared" ca="1" si="3"/>
        <v>F</v>
      </c>
      <c r="N6" s="35" t="str">
        <f t="shared" ca="1" si="3"/>
        <v>S</v>
      </c>
      <c r="O6" s="35" t="str">
        <f t="shared" ca="1" si="3"/>
        <v>S</v>
      </c>
      <c r="P6" s="35" t="str">
        <f t="shared" ca="1" si="3"/>
        <v>M</v>
      </c>
      <c r="Q6" s="35" t="str">
        <f t="shared" ca="1" si="3"/>
        <v>T</v>
      </c>
      <c r="R6" s="35" t="str">
        <f t="shared" ca="1" si="3"/>
        <v>W</v>
      </c>
      <c r="S6" s="35" t="str">
        <f t="shared" ca="1" si="3"/>
        <v>T</v>
      </c>
      <c r="T6" s="35" t="str">
        <f t="shared" ca="1" si="3"/>
        <v>F</v>
      </c>
      <c r="U6" s="35" t="str">
        <f t="shared" ca="1" si="3"/>
        <v>S</v>
      </c>
      <c r="V6" s="35" t="str">
        <f t="shared" ca="1" si="3"/>
        <v>S</v>
      </c>
      <c r="W6" s="35" t="str">
        <f t="shared" ca="1" si="3"/>
        <v>M</v>
      </c>
      <c r="X6" s="35" t="str">
        <f t="shared" ca="1" si="3"/>
        <v>T</v>
      </c>
      <c r="Y6" s="35" t="str">
        <f t="shared" ca="1" si="3"/>
        <v>W</v>
      </c>
      <c r="Z6" s="35" t="str">
        <f t="shared" ca="1" si="3"/>
        <v>T</v>
      </c>
      <c r="AA6" s="35" t="str">
        <f t="shared" ca="1" si="3"/>
        <v>F</v>
      </c>
      <c r="AB6" s="35" t="str">
        <f t="shared" ca="1" si="3"/>
        <v>S</v>
      </c>
      <c r="AC6" s="35" t="str">
        <f t="shared" ca="1" si="3"/>
        <v>S</v>
      </c>
      <c r="AD6" s="35" t="str">
        <f t="shared" ca="1" si="3"/>
        <v>M</v>
      </c>
      <c r="AE6" s="35" t="str">
        <f t="shared" ca="1" si="3"/>
        <v>T</v>
      </c>
      <c r="AF6" s="35" t="str">
        <f t="shared" ca="1" si="3"/>
        <v>W</v>
      </c>
      <c r="AG6" s="35" t="str">
        <f t="shared" ca="1" si="3"/>
        <v>T</v>
      </c>
      <c r="AH6" s="35" t="str">
        <f t="shared" ca="1" si="3"/>
        <v>F</v>
      </c>
      <c r="AI6" s="35" t="str">
        <f t="shared" ca="1" si="3"/>
        <v>S</v>
      </c>
      <c r="AJ6" s="35" t="str">
        <f t="shared" ca="1" si="3"/>
        <v>S</v>
      </c>
      <c r="AK6" s="35" t="str">
        <f t="shared" ca="1" si="3"/>
        <v>M</v>
      </c>
      <c r="AL6" s="35" t="str">
        <f t="shared" ca="1" si="3"/>
        <v>T</v>
      </c>
      <c r="AM6" s="35" t="str">
        <f t="shared" ca="1" si="3"/>
        <v>W</v>
      </c>
      <c r="AN6" s="35" t="str">
        <f t="shared" ca="1" si="3"/>
        <v>T</v>
      </c>
      <c r="AO6" s="35" t="str">
        <f t="shared" ref="AO6:BL6" ca="1" si="4">LEFT(TEXT(AO5,"ddd"),1)</f>
        <v>F</v>
      </c>
      <c r="AP6" s="35" t="str">
        <f t="shared" ca="1" si="4"/>
        <v>S</v>
      </c>
      <c r="AQ6" s="35" t="str">
        <f t="shared" ca="1" si="4"/>
        <v>S</v>
      </c>
      <c r="AR6" s="35" t="str">
        <f t="shared" ca="1" si="4"/>
        <v>M</v>
      </c>
      <c r="AS6" s="35" t="str">
        <f t="shared" ca="1" si="4"/>
        <v>T</v>
      </c>
      <c r="AT6" s="35" t="str">
        <f t="shared" ca="1" si="4"/>
        <v>W</v>
      </c>
      <c r="AU6" s="35" t="str">
        <f t="shared" ca="1" si="4"/>
        <v>T</v>
      </c>
      <c r="AV6" s="35" t="str">
        <f t="shared" ca="1" si="4"/>
        <v>F</v>
      </c>
      <c r="AW6" s="35" t="str">
        <f t="shared" ca="1" si="4"/>
        <v>S</v>
      </c>
      <c r="AX6" s="35" t="str">
        <f t="shared" ca="1" si="4"/>
        <v>S</v>
      </c>
      <c r="AY6" s="35" t="str">
        <f t="shared" ca="1" si="4"/>
        <v>M</v>
      </c>
      <c r="AZ6" s="35" t="str">
        <f t="shared" ca="1" si="4"/>
        <v>T</v>
      </c>
      <c r="BA6" s="35" t="str">
        <f t="shared" ca="1" si="4"/>
        <v>W</v>
      </c>
      <c r="BB6" s="35" t="str">
        <f t="shared" ca="1" si="4"/>
        <v>T</v>
      </c>
      <c r="BC6" s="35" t="str">
        <f t="shared" ca="1" si="4"/>
        <v>F</v>
      </c>
      <c r="BD6" s="35" t="str">
        <f t="shared" ca="1" si="4"/>
        <v>S</v>
      </c>
      <c r="BE6" s="35" t="str">
        <f t="shared" ca="1" si="4"/>
        <v>S</v>
      </c>
      <c r="BF6" s="35" t="str">
        <f t="shared" ca="1" si="4"/>
        <v>M</v>
      </c>
      <c r="BG6" s="35" t="str">
        <f t="shared" ca="1" si="4"/>
        <v>T</v>
      </c>
      <c r="BH6" s="35" t="str">
        <f t="shared" ca="1" si="4"/>
        <v>W</v>
      </c>
      <c r="BI6" s="35" t="str">
        <f t="shared" ca="1" si="4"/>
        <v>T</v>
      </c>
      <c r="BJ6" s="35" t="str">
        <f t="shared" ca="1" si="4"/>
        <v>F</v>
      </c>
      <c r="BK6" s="35" t="str">
        <f t="shared" ca="1" si="4"/>
        <v>S</v>
      </c>
      <c r="BL6" s="36" t="str">
        <f t="shared" ca="1" si="4"/>
        <v>S</v>
      </c>
    </row>
    <row r="7" spans="1:64" s="26" customFormat="1" ht="30" hidden="1" customHeight="1" thickBot="1" x14ac:dyDescent="0.3">
      <c r="A7" s="13" t="s">
        <v>20</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x14ac:dyDescent="0.3">
      <c r="A8" s="14"/>
      <c r="B8" s="40" t="s">
        <v>27</v>
      </c>
      <c r="C8" s="41" t="s">
        <v>26</v>
      </c>
      <c r="D8" s="42"/>
      <c r="E8" s="43"/>
      <c r="F8" s="44"/>
      <c r="G8" s="17"/>
      <c r="H8" s="5" t="str">
        <f t="shared" ref="H8:H32"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x14ac:dyDescent="0.3">
      <c r="A9" s="14"/>
      <c r="B9" s="47" t="s">
        <v>28</v>
      </c>
      <c r="C9" s="48"/>
      <c r="D9" s="49">
        <v>1</v>
      </c>
      <c r="E9" s="50">
        <v>46091</v>
      </c>
      <c r="F9" s="50">
        <f>E9+1</f>
        <v>46092</v>
      </c>
      <c r="G9" s="17"/>
      <c r="H9" s="5">
        <f t="shared" si="5"/>
        <v>2</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customHeight="1" thickBot="1" x14ac:dyDescent="0.3">
      <c r="A10" s="14"/>
      <c r="B10" s="52" t="s">
        <v>29</v>
      </c>
      <c r="C10" s="53"/>
      <c r="D10" s="54">
        <v>1</v>
      </c>
      <c r="E10" s="55">
        <f>E9</f>
        <v>46091</v>
      </c>
      <c r="F10" s="55">
        <f>E10+1</f>
        <v>46092</v>
      </c>
      <c r="G10" s="17"/>
      <c r="H10" s="5">
        <f t="shared" si="5"/>
        <v>2</v>
      </c>
      <c r="I10" s="51"/>
      <c r="J10" s="51"/>
      <c r="K10" s="51"/>
      <c r="L10" s="51"/>
      <c r="M10" s="51"/>
      <c r="N10" s="51"/>
      <c r="O10" s="51"/>
      <c r="P10" s="51"/>
      <c r="Q10" s="51"/>
      <c r="R10" s="51"/>
      <c r="S10" s="51"/>
      <c r="T10" s="51"/>
      <c r="U10" s="56"/>
      <c r="V10" s="56"/>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row>
    <row r="11" spans="1:64" s="46" customFormat="1" ht="30" customHeight="1" thickBot="1" x14ac:dyDescent="0.3">
      <c r="A11" s="13"/>
      <c r="B11" s="52" t="s">
        <v>30</v>
      </c>
      <c r="C11" s="53"/>
      <c r="D11" s="54">
        <v>1</v>
      </c>
      <c r="E11" s="55">
        <f>F10</f>
        <v>46092</v>
      </c>
      <c r="F11" s="55">
        <f>E11+1</f>
        <v>46093</v>
      </c>
      <c r="G11" s="17"/>
      <c r="H11" s="5">
        <f t="shared" si="5"/>
        <v>2</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customHeight="1" thickBot="1" x14ac:dyDescent="0.3">
      <c r="A12" s="13"/>
      <c r="B12" s="52" t="s">
        <v>31</v>
      </c>
      <c r="C12" s="53"/>
      <c r="D12" s="54">
        <v>1</v>
      </c>
      <c r="E12" s="55">
        <f>F11</f>
        <v>46093</v>
      </c>
      <c r="F12" s="55">
        <f>E12+1</f>
        <v>46094</v>
      </c>
      <c r="G12" s="17"/>
      <c r="H12" s="5">
        <f t="shared" si="5"/>
        <v>2</v>
      </c>
      <c r="I12" s="51"/>
      <c r="J12" s="51"/>
      <c r="K12" s="51"/>
      <c r="L12" s="51"/>
      <c r="M12" s="51"/>
      <c r="N12" s="51"/>
      <c r="O12" s="51"/>
      <c r="P12" s="51"/>
      <c r="Q12" s="51"/>
      <c r="R12" s="51"/>
      <c r="S12" s="51"/>
      <c r="T12" s="51"/>
      <c r="U12" s="51"/>
      <c r="V12" s="51"/>
      <c r="W12" s="51"/>
      <c r="X12" s="51"/>
      <c r="Y12" s="56"/>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row>
    <row r="13" spans="1:64" s="46" customFormat="1" ht="30" customHeight="1" thickBot="1" x14ac:dyDescent="0.3">
      <c r="A13" s="14"/>
      <c r="B13" s="57" t="s">
        <v>32</v>
      </c>
      <c r="C13" s="58" t="s">
        <v>26</v>
      </c>
      <c r="D13" s="59"/>
      <c r="E13" s="60"/>
      <c r="F13" s="61"/>
      <c r="G13" s="17"/>
      <c r="H13" s="5" t="str">
        <f t="shared" si="5"/>
        <v/>
      </c>
    </row>
    <row r="14" spans="1:64" s="46" customFormat="1" ht="30" customHeight="1" thickBot="1" x14ac:dyDescent="0.3">
      <c r="A14" s="14"/>
      <c r="B14" s="62" t="s">
        <v>33</v>
      </c>
      <c r="C14" s="63"/>
      <c r="D14" s="64">
        <v>1</v>
      </c>
      <c r="E14" s="65">
        <v>46092</v>
      </c>
      <c r="F14" s="65">
        <f>E14+3</f>
        <v>46095</v>
      </c>
      <c r="G14" s="17"/>
      <c r="H14" s="5">
        <f t="shared" si="5"/>
        <v>4</v>
      </c>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row>
    <row r="15" spans="1:64" s="46" customFormat="1" ht="30" customHeight="1" thickBot="1" x14ac:dyDescent="0.3">
      <c r="A15" s="13"/>
      <c r="B15" s="62" t="s">
        <v>34</v>
      </c>
      <c r="C15" s="63"/>
      <c r="D15" s="64">
        <v>1</v>
      </c>
      <c r="E15" s="65">
        <f>F14</f>
        <v>46095</v>
      </c>
      <c r="F15" s="65">
        <f>E15+1</f>
        <v>46096</v>
      </c>
      <c r="G15" s="17"/>
      <c r="H15" s="5">
        <f t="shared" si="5"/>
        <v>2</v>
      </c>
      <c r="I15" s="51"/>
      <c r="J15" s="51"/>
      <c r="K15" s="51"/>
      <c r="L15" s="51"/>
      <c r="M15" s="51"/>
      <c r="N15" s="51"/>
      <c r="O15" s="51"/>
      <c r="P15" s="51"/>
      <c r="Q15" s="51"/>
      <c r="R15" s="51"/>
      <c r="S15" s="51"/>
      <c r="T15" s="51"/>
      <c r="U15" s="56"/>
      <c r="V15" s="56"/>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46" customFormat="1" ht="30" customHeight="1" thickBot="1" x14ac:dyDescent="0.3">
      <c r="A16" s="13"/>
      <c r="B16" s="62" t="s">
        <v>35</v>
      </c>
      <c r="C16" s="63"/>
      <c r="D16" s="64">
        <v>1</v>
      </c>
      <c r="E16" s="65">
        <f>E15</f>
        <v>46095</v>
      </c>
      <c r="F16" s="65">
        <f>E16+1</f>
        <v>46096</v>
      </c>
      <c r="G16" s="17"/>
      <c r="H16" s="5">
        <f t="shared" si="5"/>
        <v>2</v>
      </c>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row>
    <row r="17" spans="1:64" s="46" customFormat="1" ht="30" customHeight="1" thickBot="1" x14ac:dyDescent="0.3">
      <c r="A17" s="13"/>
      <c r="B17" s="62" t="s">
        <v>36</v>
      </c>
      <c r="C17" s="63"/>
      <c r="D17" s="64">
        <v>1</v>
      </c>
      <c r="E17" s="65">
        <f>E16+2</f>
        <v>46097</v>
      </c>
      <c r="F17" s="65">
        <f>E17</f>
        <v>46097</v>
      </c>
      <c r="G17" s="17"/>
      <c r="H17" s="5">
        <f t="shared" si="5"/>
        <v>1</v>
      </c>
      <c r="I17" s="51"/>
      <c r="J17" s="51"/>
      <c r="K17" s="51"/>
      <c r="L17" s="51"/>
      <c r="M17" s="51"/>
      <c r="N17" s="51"/>
      <c r="O17" s="51"/>
      <c r="P17" s="51"/>
      <c r="Q17" s="51"/>
      <c r="R17" s="51"/>
      <c r="S17" s="51"/>
      <c r="T17" s="51"/>
      <c r="U17" s="51"/>
      <c r="V17" s="51"/>
      <c r="W17" s="51"/>
      <c r="X17" s="51"/>
      <c r="Y17" s="56"/>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row>
    <row r="18" spans="1:64" s="46" customFormat="1" ht="30" customHeight="1" thickBot="1" x14ac:dyDescent="0.3">
      <c r="A18" s="13"/>
      <c r="B18" s="66" t="s">
        <v>49</v>
      </c>
      <c r="C18" s="67" t="s">
        <v>26</v>
      </c>
      <c r="D18" s="68"/>
      <c r="E18" s="69"/>
      <c r="F18" s="70"/>
      <c r="G18" s="17"/>
      <c r="H18" s="5" t="str">
        <f t="shared" si="5"/>
        <v/>
      </c>
      <c r="I18" s="71"/>
      <c r="J18" s="71"/>
      <c r="K18" s="71"/>
      <c r="L18" s="71"/>
      <c r="M18" s="71"/>
      <c r="N18" s="71"/>
      <c r="O18" s="71"/>
      <c r="P18" s="71"/>
      <c r="Q18" s="71"/>
      <c r="R18" s="71"/>
      <c r="S18" s="71"/>
      <c r="T18" s="71"/>
      <c r="U18" s="71"/>
      <c r="V18" s="71"/>
      <c r="W18" s="71"/>
      <c r="X18" s="71"/>
      <c r="Y18" s="71"/>
      <c r="Z18" s="71"/>
      <c r="AA18" s="71"/>
      <c r="AB18" s="71"/>
      <c r="AC18" s="71"/>
      <c r="AD18" s="71"/>
      <c r="AE18" s="71"/>
      <c r="AF18" s="71"/>
      <c r="AG18" s="71"/>
      <c r="AH18" s="71"/>
      <c r="AI18" s="71"/>
      <c r="AJ18" s="71"/>
      <c r="AK18" s="71"/>
      <c r="AL18" s="71"/>
      <c r="AM18" s="71"/>
      <c r="AN18" s="71"/>
      <c r="AO18" s="71"/>
      <c r="AP18" s="71"/>
      <c r="AQ18" s="71"/>
      <c r="AR18" s="71"/>
      <c r="AS18" s="71"/>
      <c r="AT18" s="71"/>
      <c r="AU18" s="71"/>
      <c r="AV18" s="71"/>
      <c r="AW18" s="71"/>
      <c r="AX18" s="71"/>
      <c r="AY18" s="71"/>
      <c r="AZ18" s="71"/>
      <c r="BA18" s="71"/>
      <c r="BB18" s="71"/>
      <c r="BC18" s="71"/>
      <c r="BD18" s="71"/>
      <c r="BE18" s="71"/>
      <c r="BF18" s="71"/>
      <c r="BG18" s="71"/>
      <c r="BH18" s="71"/>
      <c r="BI18" s="71"/>
      <c r="BJ18" s="71"/>
      <c r="BK18" s="71"/>
      <c r="BL18" s="71"/>
    </row>
    <row r="19" spans="1:64" s="46" customFormat="1" ht="30" customHeight="1" thickBot="1" x14ac:dyDescent="0.3">
      <c r="A19" s="13"/>
      <c r="B19" s="72" t="s">
        <v>37</v>
      </c>
      <c r="C19" s="73"/>
      <c r="D19" s="74">
        <v>1</v>
      </c>
      <c r="E19" s="75">
        <f>E9+7</f>
        <v>46098</v>
      </c>
      <c r="F19" s="75">
        <f>E19+1</f>
        <v>46099</v>
      </c>
      <c r="G19" s="17"/>
      <c r="H19" s="5">
        <f t="shared" si="5"/>
        <v>2</v>
      </c>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row>
    <row r="20" spans="1:64" s="46" customFormat="1" ht="30" customHeight="1" thickBot="1" x14ac:dyDescent="0.3">
      <c r="A20" s="13"/>
      <c r="B20" s="72" t="s">
        <v>38</v>
      </c>
      <c r="C20" s="73"/>
      <c r="D20" s="74">
        <v>1</v>
      </c>
      <c r="E20" s="75">
        <f>F19</f>
        <v>46099</v>
      </c>
      <c r="F20" s="75">
        <f>E20+1</f>
        <v>46100</v>
      </c>
      <c r="G20" s="17"/>
      <c r="H20" s="5">
        <f t="shared" si="5"/>
        <v>2</v>
      </c>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row>
    <row r="21" spans="1:64" s="46" customFormat="1" ht="30" customHeight="1" thickBot="1" x14ac:dyDescent="0.3">
      <c r="A21" s="13"/>
      <c r="B21" s="72" t="s">
        <v>39</v>
      </c>
      <c r="C21" s="73"/>
      <c r="D21" s="74">
        <v>1</v>
      </c>
      <c r="E21" s="75">
        <f>E20+1</f>
        <v>46100</v>
      </c>
      <c r="F21" s="75">
        <f>E21+1</f>
        <v>46101</v>
      </c>
      <c r="G21" s="17"/>
      <c r="H21" s="5">
        <f t="shared" si="5"/>
        <v>2</v>
      </c>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row>
    <row r="22" spans="1:64" s="46" customFormat="1" ht="30" customHeight="1" thickBot="1" x14ac:dyDescent="0.3">
      <c r="A22" s="13"/>
      <c r="B22" s="72" t="s">
        <v>40</v>
      </c>
      <c r="C22" s="73"/>
      <c r="D22" s="74">
        <v>1</v>
      </c>
      <c r="E22" s="75">
        <f>F21</f>
        <v>46101</v>
      </c>
      <c r="F22" s="75">
        <f>E22+1</f>
        <v>46102</v>
      </c>
      <c r="G22" s="17"/>
      <c r="H22" s="5">
        <f t="shared" si="5"/>
        <v>2</v>
      </c>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x14ac:dyDescent="0.3">
      <c r="A23" s="13"/>
      <c r="B23" s="72" t="s">
        <v>41</v>
      </c>
      <c r="C23" s="73"/>
      <c r="D23" s="74">
        <v>1</v>
      </c>
      <c r="E23" s="75">
        <f>F22</f>
        <v>46102</v>
      </c>
      <c r="F23" s="75">
        <f>F22+1</f>
        <v>46103</v>
      </c>
      <c r="G23" s="17"/>
      <c r="H23" s="5"/>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row>
    <row r="24" spans="1:64" s="46" customFormat="1" ht="30" customHeight="1" thickBot="1" x14ac:dyDescent="0.3">
      <c r="A24" s="13"/>
      <c r="B24" s="72" t="s">
        <v>42</v>
      </c>
      <c r="C24" s="73"/>
      <c r="D24" s="74">
        <v>1</v>
      </c>
      <c r="E24" s="75">
        <f>E21+3</f>
        <v>46103</v>
      </c>
      <c r="F24" s="75">
        <f>E24</f>
        <v>46103</v>
      </c>
      <c r="G24" s="17"/>
      <c r="H24" s="5">
        <f t="shared" si="5"/>
        <v>1</v>
      </c>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row>
    <row r="25" spans="1:64" s="46" customFormat="1" ht="30" customHeight="1" thickBot="1" x14ac:dyDescent="0.3">
      <c r="A25" s="13"/>
      <c r="B25" s="76" t="s">
        <v>43</v>
      </c>
      <c r="C25" s="77" t="s">
        <v>26</v>
      </c>
      <c r="D25" s="78"/>
      <c r="E25" s="79"/>
      <c r="F25" s="80"/>
      <c r="G25" s="17"/>
      <c r="H25" s="5" t="str">
        <f t="shared" si="5"/>
        <v/>
      </c>
      <c r="I25" s="81"/>
      <c r="J25" s="81"/>
      <c r="K25" s="81"/>
      <c r="L25" s="81"/>
      <c r="M25" s="81"/>
      <c r="N25" s="81"/>
      <c r="O25" s="81"/>
      <c r="P25" s="81"/>
      <c r="Q25" s="81"/>
      <c r="R25" s="81"/>
      <c r="S25" s="81"/>
      <c r="T25" s="81"/>
      <c r="U25" s="81"/>
      <c r="V25" s="81"/>
      <c r="W25" s="81"/>
      <c r="X25" s="81"/>
      <c r="Y25" s="81"/>
      <c r="Z25" s="81"/>
      <c r="AA25" s="81"/>
      <c r="AB25" s="81"/>
      <c r="AC25" s="81"/>
      <c r="AD25" s="81"/>
      <c r="AE25" s="81"/>
      <c r="AF25" s="81"/>
      <c r="AG25" s="81"/>
      <c r="AH25" s="81"/>
      <c r="AI25" s="81"/>
      <c r="AJ25" s="81"/>
      <c r="AK25" s="81"/>
      <c r="AL25" s="81"/>
      <c r="AM25" s="81"/>
      <c r="AN25" s="81"/>
      <c r="AO25" s="81"/>
      <c r="AP25" s="81"/>
      <c r="AQ25" s="81"/>
      <c r="AR25" s="81"/>
      <c r="AS25" s="81"/>
      <c r="AT25" s="81"/>
      <c r="AU25" s="81"/>
      <c r="AV25" s="81"/>
      <c r="AW25" s="81"/>
      <c r="AX25" s="81"/>
      <c r="AY25" s="81"/>
      <c r="AZ25" s="81"/>
      <c r="BA25" s="81"/>
      <c r="BB25" s="81"/>
      <c r="BC25" s="81"/>
      <c r="BD25" s="81"/>
      <c r="BE25" s="81"/>
      <c r="BF25" s="81"/>
      <c r="BG25" s="81"/>
      <c r="BH25" s="81"/>
      <c r="BI25" s="81"/>
      <c r="BJ25" s="81"/>
      <c r="BK25" s="81"/>
      <c r="BL25" s="81"/>
    </row>
    <row r="26" spans="1:64" s="46" customFormat="1" ht="30" customHeight="1" thickBot="1" x14ac:dyDescent="0.3">
      <c r="A26" s="13"/>
      <c r="B26" s="82" t="s">
        <v>44</v>
      </c>
      <c r="C26" s="83"/>
      <c r="D26" s="84">
        <v>1</v>
      </c>
      <c r="E26" s="85">
        <v>46101</v>
      </c>
      <c r="F26" s="85">
        <f>E26+2</f>
        <v>46103</v>
      </c>
      <c r="G26" s="17"/>
      <c r="H26" s="5">
        <f t="shared" si="5"/>
        <v>3</v>
      </c>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row>
    <row r="27" spans="1:64" s="46" customFormat="1" ht="30" customHeight="1" thickBot="1" x14ac:dyDescent="0.3">
      <c r="A27" s="13"/>
      <c r="B27" s="82" t="s">
        <v>45</v>
      </c>
      <c r="C27" s="83"/>
      <c r="D27" s="84">
        <v>1</v>
      </c>
      <c r="E27" s="85">
        <f>F26+1</f>
        <v>46104</v>
      </c>
      <c r="F27" s="85">
        <f>E27+6</f>
        <v>46110</v>
      </c>
      <c r="G27" s="17"/>
      <c r="H27" s="5">
        <f t="shared" si="5"/>
        <v>7</v>
      </c>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row>
    <row r="28" spans="1:64" s="46" customFormat="1" ht="30" customHeight="1" thickBot="1" x14ac:dyDescent="0.3">
      <c r="A28" s="13"/>
      <c r="B28" s="82" t="s">
        <v>46</v>
      </c>
      <c r="C28" s="83"/>
      <c r="D28" s="84">
        <v>1</v>
      </c>
      <c r="E28" s="85">
        <f>E27+1</f>
        <v>46105</v>
      </c>
      <c r="F28" s="85">
        <f>E28+4</f>
        <v>46109</v>
      </c>
      <c r="G28" s="17"/>
      <c r="H28" s="5">
        <f t="shared" si="5"/>
        <v>5</v>
      </c>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row>
    <row r="29" spans="1:64" s="46" customFormat="1" ht="30" customHeight="1" thickBot="1" x14ac:dyDescent="0.3">
      <c r="A29" s="13"/>
      <c r="B29" s="82" t="s">
        <v>47</v>
      </c>
      <c r="C29" s="83"/>
      <c r="D29" s="84">
        <v>1</v>
      </c>
      <c r="E29" s="85">
        <f>E26+5</f>
        <v>46106</v>
      </c>
      <c r="F29" s="85">
        <f>E29+4</f>
        <v>46110</v>
      </c>
      <c r="G29" s="17"/>
      <c r="H29" s="5">
        <f t="shared" si="5"/>
        <v>5</v>
      </c>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row>
    <row r="30" spans="1:64" s="46" customFormat="1" ht="30" customHeight="1" thickBot="1" x14ac:dyDescent="0.3">
      <c r="A30" s="13"/>
      <c r="B30" s="82" t="s">
        <v>48</v>
      </c>
      <c r="C30" s="83"/>
      <c r="D30" s="84">
        <v>1</v>
      </c>
      <c r="E30" s="85">
        <v>46091</v>
      </c>
      <c r="F30" s="85">
        <v>46112</v>
      </c>
      <c r="G30" s="17"/>
      <c r="H30" s="5">
        <f t="shared" si="5"/>
        <v>22</v>
      </c>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row>
    <row r="31" spans="1:64" s="46" customFormat="1" ht="30" customHeight="1" thickBot="1" x14ac:dyDescent="0.3">
      <c r="A31" s="13"/>
      <c r="B31" s="86"/>
      <c r="C31" s="87"/>
      <c r="D31" s="88"/>
      <c r="E31" s="89"/>
      <c r="F31" s="89"/>
      <c r="G31" s="17"/>
      <c r="H31" s="5" t="str">
        <f t="shared" si="5"/>
        <v/>
      </c>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row>
    <row r="32" spans="1:64" s="46" customFormat="1" ht="30" customHeight="1" thickBot="1" x14ac:dyDescent="0.3">
      <c r="A32" s="14"/>
      <c r="B32" s="90" t="s">
        <v>0</v>
      </c>
      <c r="C32" s="91"/>
      <c r="D32" s="92"/>
      <c r="E32" s="93"/>
      <c r="F32" s="94"/>
      <c r="G32" s="17"/>
      <c r="H32" s="6" t="str">
        <f t="shared" si="5"/>
        <v/>
      </c>
      <c r="I32" s="95"/>
      <c r="J32" s="95"/>
      <c r="K32" s="95"/>
      <c r="L32" s="95"/>
      <c r="M32" s="95"/>
      <c r="N32" s="95"/>
      <c r="O32" s="95"/>
      <c r="P32" s="95"/>
      <c r="Q32" s="95"/>
      <c r="R32" s="95"/>
      <c r="S32" s="95"/>
      <c r="T32" s="95"/>
      <c r="U32" s="95"/>
      <c r="V32" s="95"/>
      <c r="W32" s="95"/>
      <c r="X32" s="95"/>
      <c r="Y32" s="95"/>
      <c r="Z32" s="95"/>
      <c r="AA32" s="95"/>
      <c r="AB32" s="95"/>
      <c r="AC32" s="95"/>
      <c r="AD32" s="95"/>
      <c r="AE32" s="95"/>
      <c r="AF32" s="95"/>
      <c r="AG32" s="95"/>
      <c r="AH32" s="95"/>
      <c r="AI32" s="95"/>
      <c r="AJ32" s="95"/>
      <c r="AK32" s="95"/>
      <c r="AL32" s="95"/>
      <c r="AM32" s="95"/>
      <c r="AN32" s="95"/>
      <c r="AO32" s="95"/>
      <c r="AP32" s="95"/>
      <c r="AQ32" s="95"/>
      <c r="AR32" s="95"/>
      <c r="AS32" s="95"/>
      <c r="AT32" s="95"/>
      <c r="AU32" s="95"/>
      <c r="AV32" s="95"/>
      <c r="AW32" s="95"/>
      <c r="AX32" s="95"/>
      <c r="AY32" s="95"/>
      <c r="AZ32" s="95"/>
      <c r="BA32" s="95"/>
      <c r="BB32" s="95"/>
      <c r="BC32" s="95"/>
      <c r="BD32" s="95"/>
      <c r="BE32" s="95"/>
      <c r="BF32" s="95"/>
      <c r="BG32" s="95"/>
      <c r="BH32" s="95"/>
      <c r="BI32" s="95"/>
      <c r="BJ32" s="95"/>
      <c r="BK32" s="95"/>
      <c r="BL32" s="95"/>
    </row>
    <row r="33" spans="3:7" ht="30" customHeight="1" x14ac:dyDescent="0.25">
      <c r="G33" s="3"/>
    </row>
    <row r="34" spans="3:7" ht="30" customHeight="1" x14ac:dyDescent="0.25">
      <c r="C34" s="16"/>
      <c r="F34" s="15"/>
    </row>
    <row r="35" spans="3:7" ht="30" customHeight="1" x14ac:dyDescent="0.25">
      <c r="C35"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2">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0">
    <cfRule type="expression" dxfId="8" priority="1">
      <formula>AND(TODAY()&gt;=I$5, TODAY()&lt;J$5)</formula>
    </cfRule>
  </conditionalFormatting>
  <conditionalFormatting sqref="I9:BL12">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4:BL17">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19:BL24">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6:BL30">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3" xr:uid="{4F48FC41-E335-47F1-87AA-3333A52AD81C}"/>
    <dataValidation allowBlank="1" showInputMessage="1" showErrorMessage="1" prompt="Phase 3's sample block starts in cell B20." sqref="A18" xr:uid="{956902D1-D3B5-416D-BB69-9362D193BC0A}"/>
    <dataValidation allowBlank="1" showInputMessage="1" showErrorMessage="1" prompt="Phase 4's sample block starts in cell B26." sqref="A25"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2"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7" customWidth="1"/>
    <col min="2" max="16384" width="9" style="1"/>
  </cols>
  <sheetData>
    <row r="1" spans="1:2" ht="46.5" customHeight="1" x14ac:dyDescent="0.25"/>
    <row r="2" spans="1:2" s="9" customFormat="1" ht="15.6" x14ac:dyDescent="0.25">
      <c r="A2" s="99" t="s">
        <v>8</v>
      </c>
      <c r="B2" s="8"/>
    </row>
    <row r="3" spans="1:2" s="11" customFormat="1" ht="27" customHeight="1" x14ac:dyDescent="0.25">
      <c r="A3" s="100"/>
      <c r="B3" s="12"/>
    </row>
    <row r="4" spans="1:2" s="10" customFormat="1" ht="30" x14ac:dyDescent="0.7">
      <c r="A4" s="101" t="s">
        <v>7</v>
      </c>
    </row>
    <row r="5" spans="1:2" ht="74.25" customHeight="1" x14ac:dyDescent="0.25">
      <c r="A5" s="102" t="s">
        <v>16</v>
      </c>
    </row>
    <row r="6" spans="1:2" ht="26.25" customHeight="1" x14ac:dyDescent="0.25">
      <c r="A6" s="101" t="s">
        <v>19</v>
      </c>
    </row>
    <row r="7" spans="1:2" s="7" customFormat="1" ht="205.05" customHeight="1" x14ac:dyDescent="0.25">
      <c r="A7" s="103" t="s">
        <v>18</v>
      </c>
    </row>
    <row r="8" spans="1:2" s="10" customFormat="1" ht="30" x14ac:dyDescent="0.7">
      <c r="A8" s="101" t="s">
        <v>9</v>
      </c>
    </row>
    <row r="9" spans="1:2" ht="41.4" x14ac:dyDescent="0.25">
      <c r="A9" s="102" t="s">
        <v>17</v>
      </c>
    </row>
    <row r="10" spans="1:2" s="7" customFormat="1" ht="28.05" customHeight="1" x14ac:dyDescent="0.25">
      <c r="A10" s="104" t="s">
        <v>15</v>
      </c>
    </row>
    <row r="11" spans="1:2" s="10" customFormat="1" ht="30" x14ac:dyDescent="0.7">
      <c r="A11" s="101" t="s">
        <v>6</v>
      </c>
    </row>
    <row r="12" spans="1:2" ht="27.6" x14ac:dyDescent="0.25">
      <c r="A12" s="102" t="s">
        <v>14</v>
      </c>
    </row>
    <row r="13" spans="1:2" s="7" customFormat="1" ht="28.05" customHeight="1" x14ac:dyDescent="0.25">
      <c r="A13" s="104" t="s">
        <v>2</v>
      </c>
    </row>
    <row r="14" spans="1:2" s="10" customFormat="1" ht="30" x14ac:dyDescent="0.7">
      <c r="A14" s="101" t="s">
        <v>10</v>
      </c>
    </row>
    <row r="15" spans="1:2" ht="75" customHeight="1" x14ac:dyDescent="0.25">
      <c r="A15" s="102" t="s">
        <v>11</v>
      </c>
    </row>
    <row r="16" spans="1:2" ht="69" x14ac:dyDescent="0.25">
      <c r="A16" s="102" t="s">
        <v>12</v>
      </c>
    </row>
    <row r="17" spans="1:1" x14ac:dyDescent="0.25">
      <c r="A17" s="105"/>
    </row>
    <row r="18" spans="1:1" x14ac:dyDescent="0.25">
      <c r="A18" s="105"/>
    </row>
    <row r="19" spans="1:1" x14ac:dyDescent="0.25">
      <c r="A19" s="105"/>
    </row>
    <row r="20" spans="1:1" x14ac:dyDescent="0.25">
      <c r="A20" s="105"/>
    </row>
    <row r="21" spans="1:1" x14ac:dyDescent="0.25">
      <c r="A21" s="105"/>
    </row>
    <row r="22" spans="1:1" x14ac:dyDescent="0.25">
      <c r="A22" s="105"/>
    </row>
    <row r="23" spans="1:1" x14ac:dyDescent="0.25">
      <c r="A23" s="105"/>
    </row>
    <row r="24" spans="1:1" x14ac:dyDescent="0.25">
      <c r="A24" s="105"/>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Rashid Hamid</dc:creator>
  <dc:description/>
  <cp:lastModifiedBy>Rashid Hamid</cp:lastModifiedBy>
  <dcterms:created xsi:type="dcterms:W3CDTF">2022-03-11T22:41:12Z</dcterms:created>
  <dcterms:modified xsi:type="dcterms:W3CDTF">2026-03-30T16:51:41Z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